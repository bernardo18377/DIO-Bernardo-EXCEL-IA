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984781760831fe/Documentos/"/>
    </mc:Choice>
  </mc:AlternateContent>
  <xr:revisionPtr revIDLastSave="8" documentId="8_{A3C4A6E1-E17D-43BD-890F-BE3F3CE81715}" xr6:coauthVersionLast="47" xr6:coauthVersionMax="47" xr10:uidLastSave="{B551FF4E-0181-46B2-BE0E-D8FB0ADC0EA9}"/>
  <bookViews>
    <workbookView xWindow="2220" yWindow="3360" windowWidth="17280" windowHeight="8880" xr2:uid="{4D3280B7-5F17-4E91-A141-6930EF350F7D}"/>
  </bookViews>
  <sheets>
    <sheet name="Planilha1" sheetId="1" r:id="rId1"/>
    <sheet name="Planilha2" sheetId="2" r:id="rId2"/>
  </sheets>
  <definedNames>
    <definedName name="aporte">Planilha1!$C$16</definedName>
    <definedName name="patrimonio_acumulado">Planilha1!$C$19</definedName>
    <definedName name="quntd_anos">Planilha1!$C$17</definedName>
    <definedName name="redimento_carteira">Planilha1!$C$12</definedName>
    <definedName name="salario">Planilha1!$C$11</definedName>
    <definedName name="taxa_mensal">Planilha1!$C$18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D33" i="1"/>
  <c r="D34" i="1"/>
  <c r="C37" i="1"/>
  <c r="D37" i="1" s="1"/>
  <c r="D43" i="1" s="1"/>
  <c r="C40" i="1"/>
  <c r="D40" i="1" s="1"/>
  <c r="C39" i="1"/>
  <c r="D39" i="1" s="1"/>
  <c r="C38" i="1"/>
  <c r="D38" i="1" s="1"/>
  <c r="C41" i="1"/>
  <c r="D41" i="1" s="1"/>
  <c r="C42" i="1"/>
  <c r="D42" i="1" s="1"/>
  <c r="C27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8" i="2"/>
  <c r="A7" i="2"/>
  <c r="A6" i="2"/>
  <c r="A5" i="2"/>
  <c r="A4" i="2"/>
  <c r="A3" i="2"/>
  <c r="E39" i="1" l="1"/>
  <c r="E37" i="1"/>
  <c r="E38" i="1"/>
  <c r="E40" i="1"/>
  <c r="E41" i="1"/>
  <c r="E42" i="1"/>
  <c r="C33" i="1"/>
  <c r="C25" i="1"/>
  <c r="D25" i="1" s="1"/>
  <c r="C26" i="1"/>
  <c r="D26" i="1" s="1"/>
  <c r="D27" i="1"/>
  <c r="C28" i="1"/>
  <c r="D28" i="1" s="1"/>
  <c r="C24" i="1"/>
  <c r="D24" i="1" s="1"/>
  <c r="C19" i="1"/>
  <c r="C20" i="1" s="1"/>
  <c r="C13" i="1"/>
</calcChain>
</file>

<file path=xl/sharedStrings.xml><?xml version="1.0" encoding="utf-8"?>
<sst xmlns="http://schemas.openxmlformats.org/spreadsheetml/2006/main" count="75" uniqueCount="39">
  <si>
    <t>Investimento Mensal</t>
  </si>
  <si>
    <t>Quanto investir por mês?</t>
  </si>
  <si>
    <t>Por quantos Anos?</t>
  </si>
  <si>
    <t>Taxa de Rendimento mensal?</t>
  </si>
  <si>
    <t>Dividendos Mensais?</t>
  </si>
  <si>
    <t>Patriomonio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</si>
  <si>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</si>
  <si>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</si>
  <si>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</si>
  <si>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</si>
  <si>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</si>
  <si>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</si>
  <si>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</si>
  <si>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</si>
  <si>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</si>
  <si>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Sugestão de investimento</t>
  </si>
  <si>
    <t>CONFIGURACÕES</t>
  </si>
  <si>
    <t>Perfil</t>
  </si>
  <si>
    <t>Moderado</t>
  </si>
  <si>
    <t>Conservador</t>
  </si>
  <si>
    <t>valor a ser investido por mês</t>
  </si>
  <si>
    <t>Tipo de FII</t>
  </si>
  <si>
    <t>Porcentual Sugerido</t>
  </si>
  <si>
    <t>PAPEL</t>
  </si>
  <si>
    <t>TIJOLO</t>
  </si>
  <si>
    <t>HÍBRIDOS</t>
  </si>
  <si>
    <t>FOFs</t>
  </si>
  <si>
    <t>DESENVOLVIMENTO</t>
  </si>
  <si>
    <t>HOTELARIAS</t>
  </si>
  <si>
    <t>total</t>
  </si>
  <si>
    <t>PERFIL</t>
  </si>
  <si>
    <t>%</t>
  </si>
  <si>
    <t>CHAVE</t>
  </si>
  <si>
    <t>Agressivo</t>
  </si>
  <si>
    <t>Moderado-TIJOLO</t>
  </si>
  <si>
    <t>valor a ser investido por mês pela % do salario</t>
  </si>
  <si>
    <t>Total</t>
  </si>
  <si>
    <t>Valores pelo dinheiro</t>
  </si>
  <si>
    <t>valores pela % do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</si>
</sst>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&quot;\ 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25" applyNumberFormat="0" applyFill="0" applyAlignment="0" applyProtection="0"/>
    <xf numFmtId="0" fontId="10" fillId="5" borderId="0" applyNumberFormat="0" applyBorder="0" applyAlignment="0" applyProtection="0"/>
    <xf numFmtId="0" fontId="8" fillId="6" borderId="0" applyNumberFormat="0" applyBorder="0" applyAlignment="0" applyProtection="0"/>
  </cellStyleXfs>
  <cellXfs count="6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center"/>
    </xf>
    <xf numFmtId="8" fontId="1" fillId="3" borderId="8" xfId="0" applyNumberFormat="1" applyFont="1" applyFill="1" applyBorder="1" applyAlignment="1">
      <alignment horizontal="center"/>
    </xf>
    <xf numFmtId="8" fontId="1" fillId="3" borderId="10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8" fontId="0" fillId="3" borderId="11" xfId="0" applyNumberFormat="1" applyFill="1" applyBorder="1"/>
    <xf numFmtId="8" fontId="0" fillId="3" borderId="16" xfId="0" applyNumberFormat="1" applyFill="1" applyBorder="1"/>
    <xf numFmtId="8" fontId="0" fillId="3" borderId="18" xfId="0" applyNumberFormat="1" applyFill="1" applyBorder="1"/>
    <xf numFmtId="0" fontId="6" fillId="4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165" fontId="0" fillId="0" borderId="22" xfId="0" applyNumberFormat="1" applyBorder="1"/>
    <xf numFmtId="9" fontId="0" fillId="0" borderId="22" xfId="0" applyNumberFormat="1" applyBorder="1"/>
    <xf numFmtId="165" fontId="0" fillId="0" borderId="24" xfId="0" applyNumberFormat="1" applyBorder="1"/>
    <xf numFmtId="0" fontId="7" fillId="0" borderId="0" xfId="0" applyFont="1"/>
    <xf numFmtId="8" fontId="1" fillId="7" borderId="0" xfId="0" applyNumberFormat="1" applyFont="1" applyFill="1" applyAlignment="1">
      <alignment horizontal="center"/>
    </xf>
    <xf numFmtId="0" fontId="0" fillId="7" borderId="0" xfId="0" applyFill="1"/>
    <xf numFmtId="0" fontId="4" fillId="7" borderId="0" xfId="0" applyFont="1" applyFill="1"/>
    <xf numFmtId="0" fontId="2" fillId="3" borderId="21" xfId="0" applyFont="1" applyFill="1" applyBorder="1"/>
    <xf numFmtId="0" fontId="2" fillId="3" borderId="23" xfId="0" applyFont="1" applyFill="1" applyBorder="1"/>
    <xf numFmtId="0" fontId="2" fillId="0" borderId="5" xfId="0" applyFont="1" applyBorder="1" applyAlignment="1">
      <alignment wrapText="1"/>
    </xf>
    <xf numFmtId="0" fontId="2" fillId="0" borderId="7" xfId="0" applyFont="1" applyBorder="1"/>
    <xf numFmtId="0" fontId="11" fillId="3" borderId="7" xfId="0" applyFont="1" applyFill="1" applyBorder="1"/>
    <xf numFmtId="0" fontId="11" fillId="3" borderId="9" xfId="0" applyFont="1" applyFill="1" applyBorder="1"/>
    <xf numFmtId="0" fontId="2" fillId="3" borderId="15" xfId="0" applyFont="1" applyFill="1" applyBorder="1"/>
    <xf numFmtId="0" fontId="2" fillId="3" borderId="17" xfId="0" applyFont="1" applyFill="1" applyBorder="1"/>
    <xf numFmtId="0" fontId="0" fillId="8" borderId="0" xfId="0" applyFill="1"/>
    <xf numFmtId="0" fontId="1" fillId="3" borderId="0" xfId="0" applyFont="1" applyFill="1"/>
    <xf numFmtId="164" fontId="0" fillId="3" borderId="0" xfId="0" applyNumberFormat="1" applyFill="1"/>
    <xf numFmtId="0" fontId="0" fillId="3" borderId="0" xfId="0" applyFill="1"/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vertical="center"/>
    </xf>
    <xf numFmtId="0" fontId="0" fillId="0" borderId="27" xfId="0" applyBorder="1"/>
    <xf numFmtId="0" fontId="0" fillId="0" borderId="29" xfId="0" applyBorder="1"/>
    <xf numFmtId="9" fontId="0" fillId="0" borderId="2" xfId="0" applyNumberFormat="1" applyBorder="1"/>
    <xf numFmtId="9" fontId="0" fillId="0" borderId="4" xfId="0" applyNumberFormat="1" applyBorder="1"/>
    <xf numFmtId="9" fontId="0" fillId="0" borderId="30" xfId="0" applyNumberFormat="1" applyBorder="1"/>
    <xf numFmtId="9" fontId="0" fillId="0" borderId="0" xfId="0" applyNumberFormat="1"/>
    <xf numFmtId="0" fontId="10" fillId="5" borderId="0" xfId="4"/>
    <xf numFmtId="9" fontId="10" fillId="5" borderId="0" xfId="2" applyFont="1" applyFill="1"/>
    <xf numFmtId="164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3" borderId="0" xfId="2" applyFont="1" applyFill="1"/>
    <xf numFmtId="164" fontId="0" fillId="3" borderId="0" xfId="1" applyNumberFormat="1" applyFont="1" applyFill="1"/>
    <xf numFmtId="164" fontId="0" fillId="0" borderId="0" xfId="1" applyNumberFormat="1" applyFont="1" applyAlignment="1">
      <alignment horizontal="center"/>
    </xf>
    <xf numFmtId="164" fontId="0" fillId="3" borderId="26" xfId="1" applyNumberFormat="1" applyFont="1" applyFill="1" applyBorder="1" applyAlignment="1">
      <alignment horizontal="right"/>
    </xf>
    <xf numFmtId="0" fontId="8" fillId="6" borderId="0" xfId="5"/>
    <xf numFmtId="0" fontId="8" fillId="6" borderId="1" xfId="5" applyBorder="1"/>
    <xf numFmtId="0" fontId="8" fillId="6" borderId="3" xfId="5" applyBorder="1"/>
    <xf numFmtId="0" fontId="8" fillId="6" borderId="28" xfId="5" applyBorder="1"/>
    <xf numFmtId="0" fontId="9" fillId="6" borderId="25" xfId="3" applyFill="1"/>
    <xf numFmtId="0" fontId="9" fillId="0" borderId="25" xfId="3"/>
    <xf numFmtId="0" fontId="9" fillId="7" borderId="25" xfId="3" applyFill="1"/>
    <xf numFmtId="164" fontId="7" fillId="3" borderId="0" xfId="0" applyNumberFormat="1" applyFont="1" applyFill="1" applyAlignment="1">
      <alignment horizontal="center"/>
    </xf>
    <xf numFmtId="0" fontId="0" fillId="0" borderId="0" xfId="0" applyFont="1"/>
  </cellXfs>
  <cellStyles count="6">
    <cellStyle name="40% - Ênfase3" xfId="5" builtinId="39"/>
    <cellStyle name="Moeda" xfId="1" builtinId="4"/>
    <cellStyle name="Neutro" xfId="4" builtinId="28"/>
    <cellStyle name="Normal" xfId="0" builtinId="0"/>
    <cellStyle name="Porcentagem" xfId="2" builtinId="5"/>
    <cellStyle name="Título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Planilha1!$C$36</c:f>
              <c:strCache>
                <c:ptCount val="1"/>
                <c:pt idx="0">
                  <c:v>Porcentual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E-4B81-A7BA-DF3997188A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9F-4358-9A69-F24C51BBBF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9F-4358-9A69-F24C51BBBF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9F-4358-9A69-F24C51BBBF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9F-4358-9A69-F24C51BBBF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9F-4358-9A69-F24C51BBBF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F9F-4358-9A69-F24C51BBBF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Planilha1!$B$37:$B$43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Planilha1!$C$37:$C$43</c:f>
              <c:numCache>
                <c:formatCode>0.00%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E-4B81-A7BA-DF3997188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24191</xdr:colOff>
      <xdr:row>0</xdr:row>
      <xdr:rowOff>72572</xdr:rowOff>
    </xdr:from>
    <xdr:to>
      <xdr:col>3</xdr:col>
      <xdr:colOff>604762</xdr:colOff>
      <xdr:row>7</xdr:row>
      <xdr:rowOff>160000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B95FF7-897F-A2E4-8A95-6E998F29A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953" y="72572"/>
          <a:ext cx="4451047" cy="1357428"/>
        </a:xfrm>
        <a:prstGeom prst="rect">
          <a:avLst/>
        </a:prstGeom>
      </xdr:spPr>
    </xdr:pic>
    <xdr:clientData/>
  </xdr:twoCellAnchor>
  <xdr:twoCellAnchor>
    <xdr:from>
      <xdr:col>0</xdr:col>
      <xdr:colOff>568476</xdr:colOff>
      <xdr:row>45</xdr:row>
      <xdr:rowOff>60476</xdr:rowOff>
    </xdr:from>
    <xdr:to>
      <xdr:col>4</xdr:col>
      <xdr:colOff>665238</xdr:colOff>
      <xdr:row>62</xdr:row>
      <xdr:rowOff>16933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4E14B3-CA20-7234-67BE-C978E4B9E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51E0-14F7-4A90-8A07-F7078AD9C00E}">
  <dimension ref="A9:H44"/>
  <sheetViews>
    <sheetView showGridLines="0" tabSelected="1" topLeftCell="A25" zoomScale="63" zoomScaleNormal="63" workbookViewId="0">
      <selection activeCell="E44" sqref="E44"/>
    </sheetView>
  </sheetViews>
  <sheetFormatPr defaultColWidth="0" defaultRowHeight="14.4" x14ac:dyDescent="0.3"/>
  <cols>
    <col min="1" max="1" width="8.88671875" customWidth="1"/>
    <col min="2" max="2" width="34.44140625" bestFit="1" customWidth="1"/>
    <col min="3" max="3" width="22.109375" customWidth="1"/>
    <col min="4" max="4" width="22.88671875" bestFit="1" customWidth="1"/>
    <col min="5" max="5" width="26.21875" bestFit="1" customWidth="1"/>
    <col min="6" max="6" width="9.77734375" customWidth="1"/>
    <col min="7" max="7" width="9.21875" customWidth="1"/>
    <col min="8" max="8" width="8.88671875" customWidth="1"/>
    <col min="9" max="9" width="8.88671875" hidden="1" customWidth="1"/>
    <col min="10" max="16384" width="8.88671875" hidden="1"/>
  </cols>
  <sheetData>
    <row r="9" spans="2:3" ht="15" thickBot="1" x14ac:dyDescent="0.35"/>
    <row r="10" spans="2:3" ht="21" x14ac:dyDescent="0.3">
      <c r="B10" s="14" t="s">
        <v>16</v>
      </c>
      <c r="C10" s="15"/>
    </row>
    <row r="11" spans="2:3" ht="15.6" x14ac:dyDescent="0.3">
      <c r="B11" s="23" t="s">
        <v>14</v>
      </c>
      <c r="C11" s="16">
        <v>5000</v>
      </c>
    </row>
    <row r="12" spans="2:3" ht="15.6" x14ac:dyDescent="0.3">
      <c r="B12" s="23" t="s">
        <v>13</v>
      </c>
      <c r="C12" s="17">
        <v>0.01</v>
      </c>
    </row>
    <row r="13" spans="2:3" ht="16.2" thickBot="1" x14ac:dyDescent="0.35">
      <c r="B13" s="24" t="s">
        <v>15</v>
      </c>
      <c r="C13" s="18">
        <f>C11*30%</f>
        <v>1500</v>
      </c>
    </row>
    <row r="14" spans="2:3" ht="15" thickBot="1" x14ac:dyDescent="0.35"/>
    <row r="15" spans="2:3" ht="25.8" x14ac:dyDescent="0.3">
      <c r="B15" s="1" t="s">
        <v>0</v>
      </c>
      <c r="C15" s="2"/>
    </row>
    <row r="16" spans="2:3" ht="15.6" x14ac:dyDescent="0.3">
      <c r="B16" s="25" t="s">
        <v>1</v>
      </c>
      <c r="C16" s="4">
        <v>500</v>
      </c>
    </row>
    <row r="17" spans="1:4" ht="15.6" x14ac:dyDescent="0.3">
      <c r="B17" s="26" t="s">
        <v>2</v>
      </c>
      <c r="C17" s="3">
        <v>5</v>
      </c>
    </row>
    <row r="18" spans="1:4" ht="15.6" x14ac:dyDescent="0.3">
      <c r="B18" s="26" t="s">
        <v>3</v>
      </c>
      <c r="C18" s="5">
        <v>1.0800000000000001E-2</v>
      </c>
    </row>
    <row r="19" spans="1:4" ht="15.6" x14ac:dyDescent="0.3">
      <c r="B19" s="27" t="s">
        <v>5</v>
      </c>
      <c r="C19" s="6">
        <f>FV(taxa_mensal,quntd_anos* 12,aporte*-1)</f>
        <v>41902.00967962922</v>
      </c>
    </row>
    <row r="20" spans="1:4" ht="16.2" thickBot="1" x14ac:dyDescent="0.35">
      <c r="B20" s="28" t="s">
        <v>4</v>
      </c>
      <c r="C20" s="7">
        <f>patrimonio_acumulado*redimento_carteira</f>
        <v>419.02009679629219</v>
      </c>
    </row>
    <row r="21" spans="1:4" ht="17.399999999999999" x14ac:dyDescent="0.35">
      <c r="A21" s="21"/>
      <c r="B21" s="22"/>
      <c r="C21" s="20"/>
      <c r="D21" s="21"/>
    </row>
    <row r="22" spans="1:4" ht="18" thickBot="1" x14ac:dyDescent="0.4">
      <c r="A22" s="21"/>
      <c r="B22" s="22"/>
      <c r="C22" s="20"/>
      <c r="D22" s="21"/>
    </row>
    <row r="23" spans="1:4" ht="26.4" thickBot="1" x14ac:dyDescent="0.35">
      <c r="B23" s="8" t="s">
        <v>11</v>
      </c>
      <c r="C23" s="9"/>
      <c r="D23" s="10" t="s">
        <v>12</v>
      </c>
    </row>
    <row r="24" spans="1:4" ht="16.2" thickBot="1" x14ac:dyDescent="0.35">
      <c r="A24" s="47">
        <v>2</v>
      </c>
      <c r="B24" s="29" t="s">
        <v>6</v>
      </c>
      <c r="C24" s="11">
        <f>FV(taxa_mensal,$A24*12,aporte)*-1</f>
        <v>13615.431830290796</v>
      </c>
      <c r="D24" s="12">
        <f>C24*$C$12</f>
        <v>136.15431830290797</v>
      </c>
    </row>
    <row r="25" spans="1:4" ht="16.2" thickBot="1" x14ac:dyDescent="0.35">
      <c r="A25" s="47">
        <v>5</v>
      </c>
      <c r="B25" s="29" t="s">
        <v>7</v>
      </c>
      <c r="C25" s="11">
        <f>FV(taxa_mensal,$A25*12,aporte)*-1</f>
        <v>41902.00967962922</v>
      </c>
      <c r="D25" s="12">
        <f>C25*$C$12</f>
        <v>419.02009679629219</v>
      </c>
    </row>
    <row r="26" spans="1:4" ht="16.2" thickBot="1" x14ac:dyDescent="0.35">
      <c r="A26" s="47">
        <v>10</v>
      </c>
      <c r="B26" s="29" t="s">
        <v>8</v>
      </c>
      <c r="C26" s="11">
        <f>FV(taxa_mensal,$A26*12,aporte)*-1</f>
        <v>121728.83312740005</v>
      </c>
      <c r="D26" s="12">
        <f>C26*$C$12</f>
        <v>1217.2883312740005</v>
      </c>
    </row>
    <row r="27" spans="1:4" ht="16.2" thickBot="1" x14ac:dyDescent="0.35">
      <c r="A27" s="47">
        <v>20</v>
      </c>
      <c r="B27" s="29" t="s">
        <v>9</v>
      </c>
      <c r="C27" s="11">
        <f>FV(taxa_mensal,$A27*12,aporte)*-1</f>
        <v>563524.49664926168</v>
      </c>
      <c r="D27" s="12">
        <f>C27*$C$12</f>
        <v>5635.2449664926171</v>
      </c>
    </row>
    <row r="28" spans="1:4" ht="16.2" thickBot="1" x14ac:dyDescent="0.35">
      <c r="A28" s="47">
        <v>30</v>
      </c>
      <c r="B28" s="30" t="s">
        <v>10</v>
      </c>
      <c r="C28" s="13">
        <f>FV(taxa_mensal,$A28*12,aporte)*-1</f>
        <v>2166952.4051583759</v>
      </c>
      <c r="D28" s="51">
        <f>C28*$C$12</f>
        <v>21669.524051583758</v>
      </c>
    </row>
    <row r="32" spans="1:4" x14ac:dyDescent="0.3">
      <c r="B32" s="31" t="s">
        <v>17</v>
      </c>
      <c r="C32" s="31" t="s">
        <v>19</v>
      </c>
      <c r="D32" s="31" t="s">
        <v>36</v>
      </c>
    </row>
    <row r="33" spans="2:5" x14ac:dyDescent="0.3">
      <c r="B33" s="32" t="s">
        <v>20</v>
      </c>
      <c r="C33" s="33">
        <f>aporte</f>
        <v>500</v>
      </c>
      <c r="D33" s="33">
        <f>aporte</f>
        <v>500</v>
      </c>
    </row>
    <row r="34" spans="2:5" x14ac:dyDescent="0.3">
      <c r="B34" s="32" t="s">
        <v>35</v>
      </c>
      <c r="C34" s="48">
        <v>0.3</v>
      </c>
      <c r="D34" s="49">
        <f>salario*C34</f>
        <v>1500</v>
      </c>
    </row>
    <row r="36" spans="2:5" x14ac:dyDescent="0.3">
      <c r="B36" s="34" t="s">
        <v>21</v>
      </c>
      <c r="C36" s="34" t="s">
        <v>22</v>
      </c>
      <c r="D36" s="34" t="s">
        <v>37</v>
      </c>
      <c r="E36" s="34" t="s">
        <v>38</v>
      </c>
    </row>
    <row r="37" spans="2:5" x14ac:dyDescent="0.3">
      <c r="B37" t="s">
        <v>23</v>
      </c>
      <c r="C37" s="46">
        <f>VLOOKUP($C$32&amp;"-"&amp;B37,Planilha2!$A:$D,4,FALSE)</f>
        <v>0.3</v>
      </c>
      <c r="D37" s="35">
        <f t="shared" ref="D37:D42" si="0">aporte*$C37</f>
        <v>150</v>
      </c>
      <c r="E37" s="50">
        <f t="shared" ref="E37:E42" si="1">$D$34*$C37</f>
        <v>450</v>
      </c>
    </row>
    <row r="38" spans="2:5" x14ac:dyDescent="0.3">
      <c r="B38" t="s">
        <v>24</v>
      </c>
      <c r="C38" s="46">
        <f>VLOOKUP($C$32&amp;"-"&amp;B38,Planilha2!$A:$D,4,FALSE)</f>
        <v>0.5</v>
      </c>
      <c r="D38" s="35">
        <f t="shared" si="0"/>
        <v>250</v>
      </c>
      <c r="E38" s="50">
        <f t="shared" si="1"/>
        <v>750</v>
      </c>
    </row>
    <row r="39" spans="2:5" x14ac:dyDescent="0.3">
      <c r="B39" t="s">
        <v>25</v>
      </c>
      <c r="C39" s="46">
        <f>VLOOKUP($C$32&amp;"-"&amp;B39,Planilha2!$A:$D,4,FALSE)</f>
        <v>0.1</v>
      </c>
      <c r="D39" s="35">
        <f t="shared" si="0"/>
        <v>50</v>
      </c>
      <c r="E39" s="50">
        <f t="shared" si="1"/>
        <v>150</v>
      </c>
    </row>
    <row r="40" spans="2:5" x14ac:dyDescent="0.3">
      <c r="B40" t="s">
        <v>26</v>
      </c>
      <c r="C40" s="46">
        <f>VLOOKUP($C$32&amp;"-"&amp;B40,Planilha2!$A:$D,4,FALSE)</f>
        <v>0.1</v>
      </c>
      <c r="D40" s="35">
        <f t="shared" si="0"/>
        <v>50</v>
      </c>
      <c r="E40" s="50">
        <f t="shared" si="1"/>
        <v>150</v>
      </c>
    </row>
    <row r="41" spans="2:5" x14ac:dyDescent="0.3">
      <c r="B41" t="s">
        <v>27</v>
      </c>
      <c r="C41" s="46">
        <f>VLOOKUP($C$32&amp;"-"&amp;B41,Planilha2!$A:$D,4,FALSE)</f>
        <v>0</v>
      </c>
      <c r="D41" s="35">
        <f t="shared" si="0"/>
        <v>0</v>
      </c>
      <c r="E41" s="50">
        <f t="shared" si="1"/>
        <v>0</v>
      </c>
    </row>
    <row r="42" spans="2:5" x14ac:dyDescent="0.3">
      <c r="B42" t="s">
        <v>28</v>
      </c>
      <c r="C42" s="46">
        <f>VLOOKUP($C$32&amp;"-"&amp;B42,Planilha2!$A:$D,4,FALSE)</f>
        <v>0</v>
      </c>
      <c r="D42" s="35">
        <f t="shared" si="0"/>
        <v>0</v>
      </c>
      <c r="E42" s="50">
        <f t="shared" si="1"/>
        <v>0</v>
      </c>
    </row>
    <row r="43" spans="2:5" x14ac:dyDescent="0.3">
      <c r="B43" s="34" t="s">
        <v>29</v>
      </c>
      <c r="C43" s="34"/>
      <c r="D43" s="45">
        <f>D37+D38+D39+D40+D41+D42</f>
        <v>500</v>
      </c>
      <c r="E43" s="59">
        <f>E37+E38+E39+E40+E41+E42</f>
        <v>1500</v>
      </c>
    </row>
    <row r="44" spans="2:5" x14ac:dyDescent="0.3">
      <c r="E44" s="60"/>
    </row>
  </sheetData>
  <dataValidations count="1">
    <dataValidation type="list" allowBlank="1" showInputMessage="1" showErrorMessage="1" sqref="B32:C32" xr:uid="{3D2FA65B-631E-468E-B87B-406DF18A141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5BA3-0D5A-403A-9E53-0EC75A830384}">
  <dimension ref="A2:H20"/>
  <sheetViews>
    <sheetView workbookViewId="0">
      <selection activeCell="F7" sqref="F7"/>
    </sheetView>
  </sheetViews>
  <sheetFormatPr defaultRowHeight="14.4" x14ac:dyDescent="0.3"/>
  <cols>
    <col min="1" max="1" width="32.21875" bestFit="1" customWidth="1"/>
    <col min="2" max="2" width="10.21875" bestFit="1" customWidth="1"/>
    <col min="3" max="3" width="18" bestFit="1" customWidth="1"/>
    <col min="4" max="4" width="14" bestFit="1" customWidth="1"/>
    <col min="7" max="7" width="16.109375" bestFit="1" customWidth="1"/>
  </cols>
  <sheetData>
    <row r="2" spans="1:8" ht="20.399999999999999" thickBot="1" x14ac:dyDescent="0.45">
      <c r="A2" s="56" t="s">
        <v>32</v>
      </c>
      <c r="B2" s="57" t="s">
        <v>30</v>
      </c>
      <c r="C2" s="58" t="s">
        <v>21</v>
      </c>
      <c r="D2" s="57" t="s">
        <v>31</v>
      </c>
    </row>
    <row r="3" spans="1:8" ht="15" thickTop="1" x14ac:dyDescent="0.3">
      <c r="A3" s="52" t="str">
        <f>B3&amp;"-"&amp;C3</f>
        <v>Conservador-PAPEL</v>
      </c>
      <c r="B3" t="s">
        <v>19</v>
      </c>
      <c r="C3" t="s">
        <v>23</v>
      </c>
      <c r="D3" s="36">
        <v>0.3</v>
      </c>
      <c r="H3" t="s">
        <v>31</v>
      </c>
    </row>
    <row r="4" spans="1:8" x14ac:dyDescent="0.3">
      <c r="A4" s="52" t="str">
        <f>B4&amp;"-"&amp;C4</f>
        <v>Conservador-TIJOLO</v>
      </c>
      <c r="B4" t="s">
        <v>19</v>
      </c>
      <c r="C4" t="s">
        <v>24</v>
      </c>
      <c r="D4" s="36">
        <v>0.5</v>
      </c>
      <c r="G4" s="43" t="s">
        <v>34</v>
      </c>
      <c r="H4" s="44">
        <f>VLOOKUP(G4,$A:$D,4,)</f>
        <v>0.3</v>
      </c>
    </row>
    <row r="5" spans="1:8" x14ac:dyDescent="0.3">
      <c r="A5" s="52" t="str">
        <f>B5&amp;"-"&amp;C5</f>
        <v>Conservador-HÍBRIDOS</v>
      </c>
      <c r="B5" t="s">
        <v>19</v>
      </c>
      <c r="C5" t="s">
        <v>25</v>
      </c>
      <c r="D5" s="36">
        <v>0.1</v>
      </c>
    </row>
    <row r="6" spans="1:8" x14ac:dyDescent="0.3">
      <c r="A6" s="52" t="str">
        <f t="shared" ref="A6" si="0">B6&amp;"-"&amp;C6</f>
        <v>Conservador-FOFs</v>
      </c>
      <c r="B6" t="s">
        <v>19</v>
      </c>
      <c r="C6" t="s">
        <v>26</v>
      </c>
      <c r="D6" s="36">
        <v>0.1</v>
      </c>
    </row>
    <row r="7" spans="1:8" x14ac:dyDescent="0.3">
      <c r="A7" s="52" t="str">
        <f>B7&amp;"-"&amp;C7</f>
        <v>Conservador-DESENVOLVIMENTO</v>
      </c>
      <c r="B7" t="s">
        <v>19</v>
      </c>
      <c r="C7" t="s">
        <v>27</v>
      </c>
      <c r="D7" s="36">
        <v>0</v>
      </c>
      <c r="F7" s="19"/>
    </row>
    <row r="8" spans="1:8" ht="15" thickBot="1" x14ac:dyDescent="0.35">
      <c r="A8" s="52" t="str">
        <f>B8&amp;"-"&amp;C8</f>
        <v>Conservador-HOTELARIAS</v>
      </c>
      <c r="B8" t="s">
        <v>19</v>
      </c>
      <c r="C8" t="s">
        <v>28</v>
      </c>
      <c r="D8" s="36">
        <v>0</v>
      </c>
    </row>
    <row r="9" spans="1:8" x14ac:dyDescent="0.3">
      <c r="A9" s="53" t="str">
        <f t="shared" ref="A9:A20" si="1">B9&amp;"-"&amp;C9</f>
        <v>Moderado-PAPEL</v>
      </c>
      <c r="B9" s="37" t="s">
        <v>18</v>
      </c>
      <c r="C9" s="37" t="s">
        <v>23</v>
      </c>
      <c r="D9" s="39">
        <v>0.32</v>
      </c>
    </row>
    <row r="10" spans="1:8" x14ac:dyDescent="0.3">
      <c r="A10" s="54" t="str">
        <f t="shared" si="1"/>
        <v>Moderado-TIJOLO</v>
      </c>
      <c r="B10" t="s">
        <v>18</v>
      </c>
      <c r="C10" t="s">
        <v>24</v>
      </c>
      <c r="D10" s="40">
        <v>0.3</v>
      </c>
    </row>
    <row r="11" spans="1:8" x14ac:dyDescent="0.3">
      <c r="A11" s="54" t="str">
        <f t="shared" si="1"/>
        <v>Moderado-HÍBRIDOS</v>
      </c>
      <c r="B11" t="s">
        <v>18</v>
      </c>
      <c r="C11" t="s">
        <v>25</v>
      </c>
      <c r="D11" s="40">
        <v>0.08</v>
      </c>
    </row>
    <row r="12" spans="1:8" x14ac:dyDescent="0.3">
      <c r="A12" s="54" t="str">
        <f t="shared" si="1"/>
        <v>Moderado-FOFs</v>
      </c>
      <c r="B12" t="s">
        <v>18</v>
      </c>
      <c r="C12" t="s">
        <v>26</v>
      </c>
      <c r="D12" s="40">
        <v>0.1</v>
      </c>
    </row>
    <row r="13" spans="1:8" x14ac:dyDescent="0.3">
      <c r="A13" s="54" t="str">
        <f t="shared" si="1"/>
        <v>Moderado-DESENVOLVIMENTO</v>
      </c>
      <c r="B13" t="s">
        <v>18</v>
      </c>
      <c r="C13" t="s">
        <v>27</v>
      </c>
      <c r="D13" s="40">
        <v>0.1</v>
      </c>
    </row>
    <row r="14" spans="1:8" ht="15" thickBot="1" x14ac:dyDescent="0.35">
      <c r="A14" s="55" t="str">
        <f t="shared" si="1"/>
        <v>Moderado-HOTELARIAS</v>
      </c>
      <c r="B14" s="38" t="s">
        <v>18</v>
      </c>
      <c r="C14" s="38" t="s">
        <v>28</v>
      </c>
      <c r="D14" s="41">
        <v>0.1</v>
      </c>
    </row>
    <row r="15" spans="1:8" x14ac:dyDescent="0.3">
      <c r="A15" s="52" t="str">
        <f t="shared" si="1"/>
        <v>Agressivo-PAPEL</v>
      </c>
      <c r="B15" t="s">
        <v>33</v>
      </c>
      <c r="C15" t="s">
        <v>23</v>
      </c>
      <c r="D15" s="42">
        <v>0.5</v>
      </c>
    </row>
    <row r="16" spans="1:8" x14ac:dyDescent="0.3">
      <c r="A16" s="52" t="str">
        <f t="shared" si="1"/>
        <v>Agressivo-TIJOLO</v>
      </c>
      <c r="B16" t="s">
        <v>33</v>
      </c>
      <c r="C16" t="s">
        <v>24</v>
      </c>
      <c r="D16" s="42">
        <v>0.1</v>
      </c>
    </row>
    <row r="17" spans="1:4" x14ac:dyDescent="0.3">
      <c r="A17" s="52" t="str">
        <f t="shared" si="1"/>
        <v>Agressivo-HÍBRIDOS</v>
      </c>
      <c r="B17" t="s">
        <v>33</v>
      </c>
      <c r="C17" t="s">
        <v>25</v>
      </c>
      <c r="D17" s="42">
        <v>0.05</v>
      </c>
    </row>
    <row r="18" spans="1:4" x14ac:dyDescent="0.3">
      <c r="A18" s="52" t="str">
        <f t="shared" si="1"/>
        <v>Agressivo-FOFs</v>
      </c>
      <c r="B18" t="s">
        <v>33</v>
      </c>
      <c r="C18" t="s">
        <v>26</v>
      </c>
      <c r="D18" s="42">
        <v>0.05</v>
      </c>
    </row>
    <row r="19" spans="1:4" x14ac:dyDescent="0.3">
      <c r="A19" s="52" t="str">
        <f t="shared" si="1"/>
        <v>Agressivo-DESENVOLVIMENTO</v>
      </c>
      <c r="B19" t="s">
        <v>33</v>
      </c>
      <c r="C19" t="s">
        <v>27</v>
      </c>
      <c r="D19" s="42">
        <v>0.2</v>
      </c>
    </row>
    <row r="20" spans="1:4" x14ac:dyDescent="0.3">
      <c r="A20" s="52" t="str">
        <f t="shared" si="1"/>
        <v>Agressivo-HOTELARIAS</v>
      </c>
      <c r="B20" t="s">
        <v>33</v>
      </c>
      <c r="C20" t="s">
        <v>28</v>
      </c>
      <c r="D20" s="4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patrimonio_acumulado</vt:lpstr>
      <vt:lpstr>quntd_anos</vt:lpstr>
      <vt:lpstr>redimento_carteira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Bueno</dc:creator>
  <cp:lastModifiedBy>Bernardo Bueno</cp:lastModifiedBy>
  <dcterms:created xsi:type="dcterms:W3CDTF">2026-10-13T20:16:37Z</dcterms:created>
  <dcterms:modified xsi:type="dcterms:W3CDTF">2026-10-14T01:00:17Z</dcterms:modified>
</cp:coreProperties>
</file>